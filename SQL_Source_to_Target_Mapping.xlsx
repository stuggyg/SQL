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er-Instance Level" sheetId="1" state="visible" r:id="rId3"/>
    <sheet name="Database Level" sheetId="2" state="visible" r:id="rId4"/>
  </sheets>
  <definedNames>
    <definedName function="false" hidden="true" localSheetId="1" name="_xlnm._FilterDatabase" vbProcedure="false">'Database Level'!$A$5:$AB$46</definedName>
    <definedName function="false" hidden="true" localSheetId="0" name="_xlnm._FilterDatabase" vbProcedure="false">'Server-Instance Level'!$A$5:$AI$26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<sst xmlns="http://schemas.openxmlformats.org/spreadsheetml/2006/main" count="114" uniqueCount="95">
  <si>
    <t xml:space="preserve">SQL Server 2016 → 2022 Migration — Source-to-Target Mapping</t>
  </si>
  <si>
    <t xml:space="preserve">Sheet 1 of 2  ·  Server / Instance level  ·  one row per SQL Server instance</t>
  </si>
  <si>
    <t xml:space="preserve">HOW TO USE:  Fill one row per instance. Enter Source and Target values in the white cells. ‘Match’ columns are formulas — do not type in them (green = MATCH, red = REVIEW). Amber COLLATION band = must match or you hit collation conflicts. Row 6 is a worked EXAMPLE — overwrite or delete it. Target standards: Cost Threshold = 50, Tgt OS = Windows Server 2025.</t>
  </si>
  <si>
    <t xml:space="preserve">Source Server\Instance</t>
  </si>
  <si>
    <t xml:space="preserve">Target Server\Instance</t>
  </si>
  <si>
    <t xml:space="preserve">Role / Function</t>
  </si>
  <si>
    <t xml:space="preserve">AG Role
(Primary/Sync Sec/Async DR/Standalone)</t>
  </si>
  <si>
    <t xml:space="preserve">Src Edition</t>
  </si>
  <si>
    <t xml:space="preserve">Tgt Edition</t>
  </si>
  <si>
    <t xml:space="preserve">Edition
Match</t>
  </si>
  <si>
    <t xml:space="preserve">Src Product Version
(e.g. 13.0.xxxx / 2016)</t>
  </si>
  <si>
    <t xml:space="preserve">Tgt Product Version
(e.g. 16.0.xxxx / 2022)</t>
  </si>
  <si>
    <t xml:space="preserve">Src CU Level</t>
  </si>
  <si>
    <t xml:space="preserve">Tgt CU Level</t>
  </si>
  <si>
    <t xml:space="preserve">Src Instance Collation</t>
  </si>
  <si>
    <t xml:space="preserve">Tgt Instance Collation</t>
  </si>
  <si>
    <t xml:space="preserve">Collation
Match</t>
  </si>
  <si>
    <t xml:space="preserve">Src MAXDOP</t>
  </si>
  <si>
    <t xml:space="preserve">Tgt MAXDOP</t>
  </si>
  <si>
    <t xml:space="preserve">Src Cost
Threshold</t>
  </si>
  <si>
    <t xml:space="preserve">Tgt Cost
Threshold (=50)</t>
  </si>
  <si>
    <t xml:space="preserve">Src Max Mem
(MB)</t>
  </si>
  <si>
    <t xml:space="preserve">Tgt Max Mem
(MB)</t>
  </si>
  <si>
    <t xml:space="preserve">Src Min Mem
(MB)</t>
  </si>
  <si>
    <t xml:space="preserve">Tgt Min Mem
(MB)</t>
  </si>
  <si>
    <t xml:space="preserve">Src Trace Flags</t>
  </si>
  <si>
    <t xml:space="preserve">Tgt Trace Flags</t>
  </si>
  <si>
    <t xml:space="preserve">Notable non-default
sp_configure</t>
  </si>
  <si>
    <t xml:space="preserve">Src OS</t>
  </si>
  <si>
    <t xml:space="preserve">Tgt OS
(WS2025)</t>
  </si>
  <si>
    <t xml:space="preserve">Src Cores / RAM</t>
  </si>
  <si>
    <t xml:space="preserve">Tgt Cores / RAM</t>
  </si>
  <si>
    <t xml:space="preserve">Service Account
(gMSA?)</t>
  </si>
  <si>
    <t xml:space="preserve">SPNs
Registered</t>
  </si>
  <si>
    <t xml:space="preserve">Migration Date</t>
  </si>
  <si>
    <t xml:space="preserve">Status</t>
  </si>
  <si>
    <t xml:space="preserve">Signed Off
(DBA / PM)</t>
  </si>
  <si>
    <t xml:space="preserve">Notes</t>
  </si>
  <si>
    <t xml:space="preserve">SQL-PROD-01\MSSQLSERVER</t>
  </si>
  <si>
    <t xml:space="preserve">SQL-PROD-01-N\MSSQLSERVER</t>
  </si>
  <si>
    <t xml:space="preserve">Primary Production DB</t>
  </si>
  <si>
    <t xml:space="preserve">Primary</t>
  </si>
  <si>
    <t xml:space="preserve">Enterprise</t>
  </si>
  <si>
    <t xml:space="preserve">13.0.6300 (SQL 2016 SP3)</t>
  </si>
  <si>
    <t xml:space="preserve">16.0.4165 (SQL 2022)</t>
  </si>
  <si>
    <t xml:space="preserve">SP3-GDR</t>
  </si>
  <si>
    <t xml:space="preserve">CU14</t>
  </si>
  <si>
    <t xml:space="preserve">SQL_Latin1_General_CP1_CI_AS</t>
  </si>
  <si>
    <t xml:space="preserve">1117,1118</t>
  </si>
  <si>
    <t xml:space="preserve">3226 (1117/1118 now default)</t>
  </si>
  <si>
    <t xml:space="preserve">optimize for ad hoc = 1</t>
  </si>
  <si>
    <t xml:space="preserve">Windows Server 2012 R2</t>
  </si>
  <si>
    <t xml:space="preserve">Windows Server 2025</t>
  </si>
  <si>
    <t xml:space="preserve">8 vCPU / 64 GB</t>
  </si>
  <si>
    <t xml:space="preserve">16 vCPU / 128 GB</t>
  </si>
  <si>
    <t xml:space="preserve">DOMAIN\gMSA_sql01$ (gMSA)</t>
  </si>
  <si>
    <t xml:space="preserve">Y</t>
  </si>
  <si>
    <t xml:space="preserve">TBC</t>
  </si>
  <si>
    <t xml:space="preserve">Not Started</t>
  </si>
  <si>
    <t xml:space="preserve">Highest priority — schedule window</t>
  </si>
  <si>
    <t xml:space="preserve">Sheet 2 of 2  ·  Database level  ·  one row per user database</t>
  </si>
  <si>
    <t xml:space="preserve">HOW TO USE:  Fill one row per database. ‘Collation Match’ is a formula — do not type in it. DB collation can differ from the instance collation, so capture it per database. Compat level is staged: deploy at 130, validate, then raise to 160 (do NOT jump to 160 on cutover day). Row 6 is a worked EXAMPLE — overwrite or delete it.</t>
  </si>
  <si>
    <t xml:space="preserve">Source Instance</t>
  </si>
  <si>
    <t xml:space="preserve">Database Name</t>
  </si>
  <si>
    <t xml:space="preserve">Owner
(target = dbo?)</t>
  </si>
  <si>
    <t xml:space="preserve">Src DB Collation</t>
  </si>
  <si>
    <t xml:space="preserve">Tgt DB Collation</t>
  </si>
  <si>
    <t xml:space="preserve">Src Compat
Level</t>
  </si>
  <si>
    <t xml:space="preserve">Tgt Compat
@ Cutover (130)</t>
  </si>
  <si>
    <t xml:space="preserve">Final Compat
Level (160)</t>
  </si>
  <si>
    <t xml:space="preserve">Recovery
Model</t>
  </si>
  <si>
    <t xml:space="preserve">Src Data
Size (MB)</t>
  </si>
  <si>
    <t xml:space="preserve">Src Log
Size (MB)</t>
  </si>
  <si>
    <t xml:space="preserve">PAGE_VERIFY
(=CHECKSUM)</t>
  </si>
  <si>
    <t xml:space="preserve">Query Store
Enabled</t>
  </si>
  <si>
    <t xml:space="preserve">TDE
Enabled</t>
  </si>
  <si>
    <t xml:space="preserve">CLR</t>
  </si>
  <si>
    <t xml:space="preserve">FILESTREAM</t>
  </si>
  <si>
    <t xml:space="preserve">Full-Text</t>
  </si>
  <si>
    <t xml:space="preserve">Service
Broker</t>
  </si>
  <si>
    <t xml:space="preserve">Repl/LogShip/
Mirroring</t>
  </si>
  <si>
    <t xml:space="preserve">Src DBCC
CHECKDB (date)</t>
  </si>
  <si>
    <t xml:space="preserve">Tgt DBCC
CHECKDB (date)</t>
  </si>
  <si>
    <t xml:space="preserve">Restore
NORECOVERY</t>
  </si>
  <si>
    <t xml:space="preserve">Orphans
Resolved</t>
  </si>
  <si>
    <t xml:space="preserve">Rowcount/
Checksum OK</t>
  </si>
  <si>
    <t xml:space="preserve">Cutover Date</t>
  </si>
  <si>
    <t xml:space="preserve">AppDB_Sales</t>
  </si>
  <si>
    <t xml:space="preserve">dbo</t>
  </si>
  <si>
    <t xml:space="preserve">FULL</t>
  </si>
  <si>
    <t xml:space="preserve">CHECKSUM</t>
  </si>
  <si>
    <t xml:space="preserve">N</t>
  </si>
  <si>
    <t xml:space="preserve">None</t>
  </si>
  <si>
    <t xml:space="preserve">clean 01/07/26</t>
  </si>
  <si>
    <t xml:space="preserve">Full-text catalog — validate post-restore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</si>
</sst>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9C65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5"/>
        <bgColor rgb="FFC6EFCE"/>
      </patternFill>
    </fill>
    <fill>
      <patternFill patternType="solid">
        <fgColor rgb="FF4472C4"/>
        <bgColor rgb="FF2E5496"/>
      </patternFill>
    </fill>
    <fill>
      <patternFill patternType="solid">
        <fgColor rgb="FFFFC000"/>
        <bgColor rgb="FFFF9900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1"/>
    <col collapsed="false" customWidth="true" hidden="false" outlineLevel="0" max="9" min="8" style="0" width="20"/>
    <col collapsed="false" customWidth="true" hidden="false" outlineLevel="0" max="11" min="10" style="0" width="11"/>
    <col collapsed="false" customWidth="true" hidden="false" outlineLevel="0" max="13" min="12" style="0" width="24"/>
    <col collapsed="false" customWidth="true" hidden="false" outlineLevel="0" max="22" min="14" style="0" width="11"/>
    <col collapsed="false" customWidth="true" hidden="false" outlineLevel="0" max="23" min="23" style="0" width="16"/>
    <col collapsed="false" customWidth="true" hidden="false" outlineLevel="0" max="24" min="24" style="0" width="22"/>
    <col collapsed="false" customWidth="true" hidden="false" outlineLevel="0" max="25" min="25" style="0" width="20"/>
    <col collapsed="false" customWidth="true" hidden="false" outlineLevel="0" max="26" min="26" style="0" width="18"/>
    <col collapsed="false" customWidth="true" hidden="false" outlineLevel="0" max="27" min="27" style="0" width="16"/>
    <col collapsed="false" customWidth="true" hidden="false" outlineLevel="0" max="29" min="28" style="0" width="14"/>
    <col collapsed="false" customWidth="true" hidden="false" outlineLevel="0" max="30" min="30" style="0" width="20"/>
    <col collapsed="false" customWidth="true" hidden="false" outlineLevel="0" max="34" min="31" style="0" width="11"/>
    <col collapsed="false" customWidth="true" hidden="false" outlineLevel="0" max="35" min="35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9.5" hidden="false" customHeight="true" outlineLevel="0" collapsed="false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5"/>
      <c r="AA4" s="5"/>
      <c r="AB4" s="5"/>
      <c r="AC4" s="5"/>
      <c r="AD4" s="7"/>
      <c r="AE4" s="7"/>
      <c r="AF4" s="4"/>
      <c r="AG4" s="4"/>
      <c r="AH4" s="4"/>
      <c r="AI4" s="4"/>
    </row>
    <row r="5" customFormat="false" ht="42" hidden="false" customHeight="true" outlineLevel="0" collapsed="false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8" t="s">
        <v>29</v>
      </c>
      <c r="AB5" s="8" t="s">
        <v>30</v>
      </c>
      <c r="AC5" s="8" t="s">
        <v>31</v>
      </c>
      <c r="AD5" s="8" t="s">
        <v>32</v>
      </c>
      <c r="AE5" s="8" t="s">
        <v>33</v>
      </c>
      <c r="AF5" s="8" t="s">
        <v>34</v>
      </c>
      <c r="AG5" s="8" t="s">
        <v>35</v>
      </c>
      <c r="AH5" s="8" t="s">
        <v>36</v>
      </c>
      <c r="AI5" s="8" t="s">
        <v>37</v>
      </c>
    </row>
    <row r="6" customFormat="false" ht="22.35" hidden="false" customHeight="false" outlineLevel="0" collapsed="false">
      <c r="A6" s="9" t="s">
        <v>38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42</v>
      </c>
      <c r="G6" s="11" t="str">
        <f aca="false">IF(OR(E6="",F6=""),"",IF(EXACT(E6,F6),"MATCH","REVIEW"))</f>
        <v>MATCH</v>
      </c>
      <c r="H6" s="10" t="s">
        <v>43</v>
      </c>
      <c r="I6" s="10" t="s">
        <v>44</v>
      </c>
      <c r="J6" s="10" t="s">
        <v>45</v>
      </c>
      <c r="K6" s="10" t="s">
        <v>46</v>
      </c>
      <c r="L6" s="10" t="s">
        <v>47</v>
      </c>
      <c r="M6" s="10" t="s">
        <v>47</v>
      </c>
      <c r="N6" s="11" t="str">
        <f aca="false">IF(OR(L6="",M6=""),"",IF(EXACT(L6,M6),"MATCH","REVIEW"))</f>
        <v>MATCH</v>
      </c>
      <c r="O6" s="10" t="n">
        <v>4</v>
      </c>
      <c r="P6" s="10" t="n">
        <v>8</v>
      </c>
      <c r="Q6" s="10" t="n">
        <v>5</v>
      </c>
      <c r="R6" s="10" t="n">
        <v>50</v>
      </c>
      <c r="S6" s="10" t="n">
        <v>57344</v>
      </c>
      <c r="T6" s="10" t="n">
        <v>116736</v>
      </c>
      <c r="U6" s="10" t="n">
        <v>0</v>
      </c>
      <c r="V6" s="10" t="n">
        <v>0</v>
      </c>
      <c r="W6" s="10" t="s">
        <v>48</v>
      </c>
      <c r="X6" s="10" t="s">
        <v>49</v>
      </c>
      <c r="Y6" s="10" t="s">
        <v>50</v>
      </c>
      <c r="Z6" s="10" t="s">
        <v>51</v>
      </c>
      <c r="AA6" s="10" t="s">
        <v>52</v>
      </c>
      <c r="AB6" s="10" t="s">
        <v>53</v>
      </c>
      <c r="AC6" s="10" t="s">
        <v>54</v>
      </c>
      <c r="AD6" s="10" t="s">
        <v>55</v>
      </c>
      <c r="AE6" s="10" t="s">
        <v>56</v>
      </c>
      <c r="AF6" s="10" t="s">
        <v>57</v>
      </c>
      <c r="AG6" s="10" t="s">
        <v>58</v>
      </c>
      <c r="AH6" s="10"/>
      <c r="AI6" s="10" t="s">
        <v>59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3" t="str">
        <f aca="false">IF(OR(E7="",F7=""),"",IF(EXACT(E7,F7),"MATCH","REVIEW"))</f>
        <v/>
      </c>
      <c r="H7" s="12"/>
      <c r="I7" s="12"/>
      <c r="J7" s="12"/>
      <c r="K7" s="12"/>
      <c r="L7" s="12"/>
      <c r="M7" s="12"/>
      <c r="N7" s="13" t="str">
        <f aca="false">IF(OR(L7="",M7=""),"",IF(EXACT(L7,M7),"MATCH","REVIEW"))</f>
        <v/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3" t="str">
        <f aca="false">IF(OR(E8="",F8=""),"",IF(EXACT(E8,F8),"MATCH","REVIEW"))</f>
        <v/>
      </c>
      <c r="H8" s="12"/>
      <c r="I8" s="12"/>
      <c r="J8" s="12"/>
      <c r="K8" s="12"/>
      <c r="L8" s="12"/>
      <c r="M8" s="12"/>
      <c r="N8" s="13" t="str">
        <f aca="false">IF(OR(L8="",M8=""),"",IF(EXACT(L8,M8),"MATCH","REVIEW"))</f>
        <v/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3" t="str">
        <f aca="false">IF(OR(E9="",F9=""),"",IF(EXACT(E9,F9),"MATCH","REVIEW"))</f>
        <v/>
      </c>
      <c r="H9" s="12"/>
      <c r="I9" s="12"/>
      <c r="J9" s="12"/>
      <c r="K9" s="12"/>
      <c r="L9" s="12"/>
      <c r="M9" s="12"/>
      <c r="N9" s="13" t="str">
        <f aca="false">IF(OR(L9="",M9=""),"",IF(EXACT(L9,M9),"MATCH","REVIEW"))</f>
        <v/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3" t="str">
        <f aca="false">IF(OR(E10="",F10=""),"",IF(EXACT(E10,F10),"MATCH","REVIEW"))</f>
        <v/>
      </c>
      <c r="H10" s="12"/>
      <c r="I10" s="12"/>
      <c r="J10" s="12"/>
      <c r="K10" s="12"/>
      <c r="L10" s="12"/>
      <c r="M10" s="12"/>
      <c r="N10" s="13" t="str">
        <f aca="false">IF(OR(L10="",M10=""),"",IF(EXACT(L10,M10),"MATCH","REVIEW"))</f>
        <v/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3" t="str">
        <f aca="false">IF(OR(E11="",F11=""),"",IF(EXACT(E11,F11),"MATCH","REVIEW"))</f>
        <v/>
      </c>
      <c r="H11" s="12"/>
      <c r="I11" s="12"/>
      <c r="J11" s="12"/>
      <c r="K11" s="12"/>
      <c r="L11" s="12"/>
      <c r="M11" s="12"/>
      <c r="N11" s="13" t="str">
        <f aca="false">IF(OR(L11="",M11=""),"",IF(EXACT(L11,M11),"MATCH","REVIEW"))</f>
        <v/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3" t="str">
        <f aca="false">IF(OR(E12="",F12=""),"",IF(EXACT(E12,F12),"MATCH","REVIEW"))</f>
        <v/>
      </c>
      <c r="H12" s="12"/>
      <c r="I12" s="12"/>
      <c r="J12" s="12"/>
      <c r="K12" s="12"/>
      <c r="L12" s="12"/>
      <c r="M12" s="12"/>
      <c r="N12" s="13" t="str">
        <f aca="false">IF(OR(L12="",M12=""),"",IF(EXACT(L12,M12),"MATCH","REVIEW"))</f>
        <v/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3" t="str">
        <f aca="false">IF(OR(E13="",F13=""),"",IF(EXACT(E13,F13),"MATCH","REVIEW"))</f>
        <v/>
      </c>
      <c r="H13" s="12"/>
      <c r="I13" s="12"/>
      <c r="J13" s="12"/>
      <c r="K13" s="12"/>
      <c r="L13" s="12"/>
      <c r="M13" s="12"/>
      <c r="N13" s="13" t="str">
        <f aca="false">IF(OR(L13="",M13=""),"",IF(EXACT(L13,M13),"MATCH","REVIEW"))</f>
        <v/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3" t="str">
        <f aca="false">IF(OR(E14="",F14=""),"",IF(EXACT(E14,F14),"MATCH","REVIEW"))</f>
        <v/>
      </c>
      <c r="H14" s="12"/>
      <c r="I14" s="12"/>
      <c r="J14" s="12"/>
      <c r="K14" s="12"/>
      <c r="L14" s="12"/>
      <c r="M14" s="12"/>
      <c r="N14" s="13" t="str">
        <f aca="false">IF(OR(L14="",M14=""),"",IF(EXACT(L14,M14),"MATCH","REVIEW"))</f>
        <v/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3" t="str">
        <f aca="false">IF(OR(E15="",F15=""),"",IF(EXACT(E15,F15),"MATCH","REVIEW"))</f>
        <v/>
      </c>
      <c r="H15" s="12"/>
      <c r="I15" s="12"/>
      <c r="J15" s="12"/>
      <c r="K15" s="12"/>
      <c r="L15" s="12"/>
      <c r="M15" s="12"/>
      <c r="N15" s="13" t="str">
        <f aca="false">IF(OR(L15="",M15=""),"",IF(EXACT(L15,M15),"MATCH","REVIEW"))</f>
        <v/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3" t="str">
        <f aca="false">IF(OR(E16="",F16=""),"",IF(EXACT(E16,F16),"MATCH","REVIEW"))</f>
        <v/>
      </c>
      <c r="H16" s="12"/>
      <c r="I16" s="12"/>
      <c r="J16" s="12"/>
      <c r="K16" s="12"/>
      <c r="L16" s="12"/>
      <c r="M16" s="12"/>
      <c r="N16" s="13" t="str">
        <f aca="false">IF(OR(L16="",M16=""),"",IF(EXACT(L16,M16),"MATCH","REVIEW"))</f>
        <v/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3" t="str">
        <f aca="false">IF(OR(E17="",F17=""),"",IF(EXACT(E17,F17),"MATCH","REVIEW"))</f>
        <v/>
      </c>
      <c r="H17" s="12"/>
      <c r="I17" s="12"/>
      <c r="J17" s="12"/>
      <c r="K17" s="12"/>
      <c r="L17" s="12"/>
      <c r="M17" s="12"/>
      <c r="N17" s="13" t="str">
        <f aca="false">IF(OR(L17="",M17=""),"",IF(EXACT(L17,M17),"MATCH","REVIEW"))</f>
        <v/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3" t="str">
        <f aca="false">IF(OR(E18="",F18=""),"",IF(EXACT(E18,F18),"MATCH","REVIEW"))</f>
        <v/>
      </c>
      <c r="H18" s="12"/>
      <c r="I18" s="12"/>
      <c r="J18" s="12"/>
      <c r="K18" s="12"/>
      <c r="L18" s="12"/>
      <c r="M18" s="12"/>
      <c r="N18" s="13" t="str">
        <f aca="false">IF(OR(L18="",M18=""),"",IF(EXACT(L18,M18),"MATCH","REVIEW"))</f>
        <v/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3" t="str">
        <f aca="false">IF(OR(E19="",F19=""),"",IF(EXACT(E19,F19),"MATCH","REVIEW"))</f>
        <v/>
      </c>
      <c r="H19" s="12"/>
      <c r="I19" s="12"/>
      <c r="J19" s="12"/>
      <c r="K19" s="12"/>
      <c r="L19" s="12"/>
      <c r="M19" s="12"/>
      <c r="N19" s="13" t="str">
        <f aca="false">IF(OR(L19="",M19=""),"",IF(EXACT(L19,M19),"MATCH","REVIEW"))</f>
        <v/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3" t="str">
        <f aca="false">IF(OR(E20="",F20=""),"",IF(EXACT(E20,F20),"MATCH","REVIEW"))</f>
        <v/>
      </c>
      <c r="H20" s="12"/>
      <c r="I20" s="12"/>
      <c r="J20" s="12"/>
      <c r="K20" s="12"/>
      <c r="L20" s="12"/>
      <c r="M20" s="12"/>
      <c r="N20" s="13" t="str">
        <f aca="false">IF(OR(L20="",M20=""),"",IF(EXACT(L20,M20),"MATCH","REVIEW"))</f>
        <v/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3" t="str">
        <f aca="false">IF(OR(E21="",F21=""),"",IF(EXACT(E21,F21),"MATCH","REVIEW"))</f>
        <v/>
      </c>
      <c r="H21" s="12"/>
      <c r="I21" s="12"/>
      <c r="J21" s="12"/>
      <c r="K21" s="12"/>
      <c r="L21" s="12"/>
      <c r="M21" s="12"/>
      <c r="N21" s="13" t="str">
        <f aca="false">IF(OR(L21="",M21=""),"",IF(EXACT(L21,M21),"MATCH","REVIEW"))</f>
        <v/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3" t="str">
        <f aca="false">IF(OR(E22="",F22=""),"",IF(EXACT(E22,F22),"MATCH","REVIEW"))</f>
        <v/>
      </c>
      <c r="H22" s="12"/>
      <c r="I22" s="12"/>
      <c r="J22" s="12"/>
      <c r="K22" s="12"/>
      <c r="L22" s="12"/>
      <c r="M22" s="12"/>
      <c r="N22" s="13" t="str">
        <f aca="false">IF(OR(L22="",M22=""),"",IF(EXACT(L22,M22),"MATCH","REVIEW"))</f>
        <v/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3" t="str">
        <f aca="false">IF(OR(E23="",F23=""),"",IF(EXACT(E23,F23),"MATCH","REVIEW"))</f>
        <v/>
      </c>
      <c r="H23" s="12"/>
      <c r="I23" s="12"/>
      <c r="J23" s="12"/>
      <c r="K23" s="12"/>
      <c r="L23" s="12"/>
      <c r="M23" s="12"/>
      <c r="N23" s="13" t="str">
        <f aca="false">IF(OR(L23="",M23=""),"",IF(EXACT(L23,M23),"MATCH","REVIEW"))</f>
        <v/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3" t="str">
        <f aca="false">IF(OR(E24="",F24=""),"",IF(EXACT(E24,F24),"MATCH","REVIEW"))</f>
        <v/>
      </c>
      <c r="H24" s="12"/>
      <c r="I24" s="12"/>
      <c r="J24" s="12"/>
      <c r="K24" s="12"/>
      <c r="L24" s="12"/>
      <c r="M24" s="12"/>
      <c r="N24" s="13" t="str">
        <f aca="false">IF(OR(L24="",M24=""),"",IF(EXACT(L24,M24),"MATCH","REVIEW"))</f>
        <v/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3" t="str">
        <f aca="false">IF(OR(E25="",F25=""),"",IF(EXACT(E25,F25),"MATCH","REVIEW"))</f>
        <v/>
      </c>
      <c r="H25" s="12"/>
      <c r="I25" s="12"/>
      <c r="J25" s="12"/>
      <c r="K25" s="12"/>
      <c r="L25" s="12"/>
      <c r="M25" s="12"/>
      <c r="N25" s="13" t="str">
        <f aca="false">IF(OR(L25="",M25=""),"",IF(EXACT(L25,M25),"MATCH","REVIEW"))</f>
        <v/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3" t="str">
        <f aca="false">IF(OR(E26="",F26=""),"",IF(EXACT(E26,F26),"MATCH","REVIEW"))</f>
        <v/>
      </c>
      <c r="H26" s="12"/>
      <c r="I26" s="12"/>
      <c r="J26" s="12"/>
      <c r="K26" s="12"/>
      <c r="L26" s="12"/>
      <c r="M26" s="12"/>
      <c r="N26" s="13" t="str">
        <f aca="false">IF(OR(L26="",M26=""),"",IF(EXACT(L26,M26),"MATCH","REVIEW"))</f>
        <v/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</sheetData>
  <autoFilter ref="A5:AI26"/>
  <mergeCells count="11">
    <mergeCell ref="A1:AI1"/>
    <mergeCell ref="A2:AI2"/>
    <mergeCell ref="A3:AI3"/>
    <mergeCell ref="A4:D4"/>
    <mergeCell ref="E4:K4"/>
    <mergeCell ref="L4:N4"/>
    <mergeCell ref="O4:V4"/>
    <mergeCell ref="W4:Y4"/>
    <mergeCell ref="Z4:AC4"/>
    <mergeCell ref="AD4:AE4"/>
    <mergeCell ref="AF4:AI4"/>
  </mergeCells>
  <conditionalFormatting sqref="G6:G26">
    <cfRule type="expression" priority="2" aboveAverage="0" equalAverage="0" bottom="0" percent="0" rank="0" text="" dxfId="7">
      <formula>G6="MATCH"</formula>
    </cfRule>
    <cfRule type="expression" priority="3" aboveAverage="0" equalAverage="0" bottom="0" percent="0" rank="0" text="" dxfId="8">
      <formula>G6="REVIEW"</formula>
    </cfRule>
  </conditionalFormatting>
  <conditionalFormatting sqref="N6:N26">
    <cfRule type="expression" priority="4" aboveAverage="0" equalAverage="0" bottom="0" percent="0" rank="0" text="" dxfId="7">
      <formula>N6="MATCH"</formula>
    </cfRule>
    <cfRule type="expression" priority="5" aboveAverage="0" equalAverage="0" bottom="0" percent="0" rank="0" text="" dxfId="8">
      <formula>N6="REVIEW"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24"/>
    <col collapsed="false" customWidth="true" hidden="false" outlineLevel="0" max="27" min="6" style="0" width="11"/>
    <col collapsed="false" customWidth="true" hidden="false" outlineLevel="0" max="28" min="28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30" hidden="false" customHeight="true" outlineLevel="0" collapsed="false">
      <c r="A3" s="3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9.5" hidden="false" customHeight="true" outlineLevel="0" collapsed="false">
      <c r="A4" s="4"/>
      <c r="B4" s="4"/>
      <c r="C4" s="4"/>
      <c r="D4" s="6"/>
      <c r="E4" s="6"/>
      <c r="F4" s="6"/>
      <c r="G4" s="5"/>
      <c r="H4" s="5"/>
      <c r="I4" s="5"/>
      <c r="J4" s="7"/>
      <c r="K4" s="7"/>
      <c r="L4" s="7"/>
      <c r="M4" s="7"/>
      <c r="N4" s="7"/>
      <c r="O4" s="7"/>
      <c r="P4" s="5"/>
      <c r="Q4" s="5"/>
      <c r="R4" s="5"/>
      <c r="S4" s="5"/>
      <c r="T4" s="5"/>
      <c r="U4" s="7"/>
      <c r="V4" s="7"/>
      <c r="W4" s="7"/>
      <c r="X4" s="7"/>
      <c r="Y4" s="7"/>
      <c r="Z4" s="4"/>
      <c r="AA4" s="4"/>
      <c r="AB4" s="4"/>
    </row>
    <row r="5" customFormat="false" ht="42" hidden="false" customHeight="true" outlineLevel="0" collapsed="false">
      <c r="A5" s="8" t="s">
        <v>62</v>
      </c>
      <c r="B5" s="8" t="s">
        <v>63</v>
      </c>
      <c r="C5" s="8" t="s">
        <v>64</v>
      </c>
      <c r="D5" s="8" t="s">
        <v>65</v>
      </c>
      <c r="E5" s="8" t="s">
        <v>66</v>
      </c>
      <c r="F5" s="8" t="s">
        <v>16</v>
      </c>
      <c r="G5" s="8" t="s">
        <v>67</v>
      </c>
      <c r="H5" s="8" t="s">
        <v>68</v>
      </c>
      <c r="I5" s="8" t="s">
        <v>69</v>
      </c>
      <c r="J5" s="8" t="s">
        <v>70</v>
      </c>
      <c r="K5" s="8" t="s">
        <v>71</v>
      </c>
      <c r="L5" s="8" t="s">
        <v>72</v>
      </c>
      <c r="M5" s="8" t="s">
        <v>73</v>
      </c>
      <c r="N5" s="8" t="s">
        <v>74</v>
      </c>
      <c r="O5" s="8" t="s">
        <v>75</v>
      </c>
      <c r="P5" s="8" t="s">
        <v>76</v>
      </c>
      <c r="Q5" s="8" t="s">
        <v>77</v>
      </c>
      <c r="R5" s="8" t="s">
        <v>78</v>
      </c>
      <c r="S5" s="8" t="s">
        <v>79</v>
      </c>
      <c r="T5" s="8" t="s">
        <v>80</v>
      </c>
      <c r="U5" s="8" t="s">
        <v>81</v>
      </c>
      <c r="V5" s="8" t="s">
        <v>82</v>
      </c>
      <c r="W5" s="8" t="s">
        <v>83</v>
      </c>
      <c r="X5" s="8" t="s">
        <v>84</v>
      </c>
      <c r="Y5" s="8" t="s">
        <v>85</v>
      </c>
      <c r="Z5" s="8" t="s">
        <v>86</v>
      </c>
      <c r="AA5" s="8" t="s">
        <v>35</v>
      </c>
      <c r="AB5" s="8" t="s">
        <v>37</v>
      </c>
    </row>
    <row r="6" customFormat="false" ht="22.35" hidden="false" customHeight="false" outlineLevel="0" collapsed="false">
      <c r="A6" s="9" t="s">
        <v>38</v>
      </c>
      <c r="B6" s="10" t="s">
        <v>87</v>
      </c>
      <c r="C6" s="10" t="s">
        <v>88</v>
      </c>
      <c r="D6" s="10" t="s">
        <v>47</v>
      </c>
      <c r="E6" s="10" t="s">
        <v>47</v>
      </c>
      <c r="F6" s="11" t="str">
        <f aca="false">IF(OR(D6="",E6=""),"",IF(EXACT(D6,E6),"MATCH","REVIEW"))</f>
        <v>MATCH</v>
      </c>
      <c r="G6" s="10" t="n">
        <v>130</v>
      </c>
      <c r="H6" s="10" t="n">
        <v>130</v>
      </c>
      <c r="I6" s="10" t="n">
        <v>160</v>
      </c>
      <c r="J6" s="10" t="s">
        <v>89</v>
      </c>
      <c r="K6" s="10" t="n">
        <v>42000</v>
      </c>
      <c r="L6" s="10" t="n">
        <v>8000</v>
      </c>
      <c r="M6" s="10" t="s">
        <v>90</v>
      </c>
      <c r="N6" s="10" t="s">
        <v>56</v>
      </c>
      <c r="O6" s="10" t="s">
        <v>91</v>
      </c>
      <c r="P6" s="10" t="s">
        <v>91</v>
      </c>
      <c r="Q6" s="10" t="s">
        <v>91</v>
      </c>
      <c r="R6" s="10" t="s">
        <v>56</v>
      </c>
      <c r="S6" s="10" t="s">
        <v>91</v>
      </c>
      <c r="T6" s="10" t="s">
        <v>92</v>
      </c>
      <c r="U6" s="10" t="s">
        <v>93</v>
      </c>
      <c r="V6" s="10"/>
      <c r="W6" s="10" t="s">
        <v>91</v>
      </c>
      <c r="X6" s="10" t="s">
        <v>91</v>
      </c>
      <c r="Y6" s="10" t="s">
        <v>91</v>
      </c>
      <c r="Z6" s="10" t="s">
        <v>57</v>
      </c>
      <c r="AA6" s="10" t="s">
        <v>58</v>
      </c>
      <c r="AB6" s="10" t="s">
        <v>94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str">
        <f aca="false">IF(OR(D7="",E7=""),"",IF(EXACT(D7,E7),"MATCH","REVIEW"))</f>
        <v/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str">
        <f aca="false">IF(OR(D8="",E8=""),"",IF(EXACT(D8,E8),"MATCH","REVIEW"))</f>
        <v/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str">
        <f aca="false">IF(OR(D9="",E9=""),"",IF(EXACT(D9,E9),"MATCH","REVIEW"))</f>
        <v/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str">
        <f aca="false">IF(OR(D10="",E10=""),"",IF(EXACT(D10,E10),"MATCH","REVIEW"))</f>
        <v/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str">
        <f aca="false">IF(OR(D11="",E11=""),"",IF(EXACT(D11,E11),"MATCH","REVIEW"))</f>
        <v/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IF(OR(D12="",E12=""),"",IF(EXACT(D12,E12),"MATCH","REVIEW"))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IF(OR(D13="",E13=""),"",IF(EXACT(D13,E13),"MATCH","REVIEW"))</f>
        <v/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IF(OR(D14="",E14=""),"",IF(EXACT(D14,E14),"MATCH","REVIEW"))</f>
        <v/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IF(OR(D15="",E15=""),"",IF(EXACT(D15,E15),"MATCH","REVIEW"))</f>
        <v/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IF(OR(D16="",E16=""),"",IF(EXACT(D16,E16),"MATCH","REVIEW"))</f>
        <v/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IF(OR(D17="",E17=""),"",IF(EXACT(D17,E17),"MATCH","REVIEW"))</f>
        <v/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IF(OR(D18="",E18=""),"",IF(EXACT(D18,E18),"MATCH","REVIEW"))</f>
        <v/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IF(OR(D19="",E19=""),"",IF(EXACT(D19,E19),"MATCH","REVIEW"))</f>
        <v/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IF(OR(D20="",E20=""),"",IF(EXACT(D20,E20),"MATCH","REVIEW"))</f>
        <v/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IF(OR(D21="",E21=""),"",IF(EXACT(D21,E21),"MATCH","REVIEW"))</f>
        <v/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IF(OR(D22="",E22=""),"",IF(EXACT(D22,E22),"MATCH","REVIEW"))</f>
        <v/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IF(OR(D23="",E23=""),"",IF(EXACT(D23,E23),"MATCH","REVIEW"))</f>
        <v/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IF(OR(D24="",E24=""),"",IF(EXACT(D24,E24),"MATCH","REVIEW"))</f>
        <v/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IF(OR(D25="",E25=""),"",IF(EXACT(D25,E25),"MATCH","REVIEW"))</f>
        <v/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IF(OR(D26="",E26=""),"",IF(EXACT(D26,E26),"MATCH","REVIEW"))</f>
        <v/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str">
        <f aca="false">IF(OR(D27="",E27=""),"",IF(EXACT(D27,E27),"MATCH","REVIEW"))</f>
        <v/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str">
        <f aca="false">IF(OR(D28="",E28=""),"",IF(EXACT(D28,E28),"MATCH","REVIEW"))</f>
        <v/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str">
        <f aca="false">IF(OR(D29="",E29=""),"",IF(EXACT(D29,E29),"MATCH","REVIEW"))</f>
        <v/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str">
        <f aca="false">IF(OR(D30="",E30=""),"",IF(EXACT(D30,E30),"MATCH","REVIEW"))</f>
        <v/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str">
        <f aca="false">IF(OR(D31="",E31=""),"",IF(EXACT(D31,E31),"MATCH","REVIEW"))</f>
        <v/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str">
        <f aca="false">IF(OR(D32="",E32=""),"",IF(EXACT(D32,E32),"MATCH","REVIEW"))</f>
        <v/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str">
        <f aca="false">IF(OR(D33="",E33=""),"",IF(EXACT(D33,E33),"MATCH","REVIEW"))</f>
        <v/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str">
        <f aca="false">IF(OR(D34="",E34=""),"",IF(EXACT(D34,E34),"MATCH","REVIEW"))</f>
        <v/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str">
        <f aca="false">IF(OR(D35="",E35=""),"",IF(EXACT(D35,E35),"MATCH","REVIEW"))</f>
        <v/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str">
        <f aca="false">IF(OR(D36="",E36=""),"",IF(EXACT(D36,E36),"MATCH","REVIEW"))</f>
        <v/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3" t="str">
        <f aca="false">IF(OR(D37="",E37=""),"",IF(EXACT(D37,E37),"MATCH","REVIEW"))</f>
        <v/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3" t="str">
        <f aca="false">IF(OR(D38="",E38=""),"",IF(EXACT(D38,E38),"MATCH","REVIEW"))</f>
        <v/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3" t="str">
        <f aca="false">IF(OR(D39="",E39=""),"",IF(EXACT(D39,E39),"MATCH","REVIEW"))</f>
        <v/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3" t="str">
        <f aca="false">IF(OR(D40="",E40=""),"",IF(EXACT(D40,E40),"MATCH","REVIEW"))</f>
        <v/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3" t="str">
        <f aca="false">IF(OR(D41="",E41=""),"",IF(EXACT(D41,E41),"MATCH","REVIEW"))</f>
        <v/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 t="str">
        <f aca="false">IF(OR(D42="",E42=""),"",IF(EXACT(D42,E42),"MATCH","REVIEW"))</f>
        <v/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 t="str">
        <f aca="false">IF(OR(D43="",E43=""),"",IF(EXACT(D43,E43),"MATCH","REVIEW"))</f>
        <v/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 t="str">
        <f aca="false">IF(OR(D44="",E44=""),"",IF(EXACT(D44,E44),"MATCH","REVIEW"))</f>
        <v/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 t="str">
        <f aca="false">IF(OR(D45="",E45=""),"",IF(EXACT(D45,E45),"MATCH","REVIEW"))</f>
        <v/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 t="str">
        <f aca="false">IF(OR(D46="",E46=""),"",IF(EXACT(D46,E46),"MATCH","REVIEW"))</f>
        <v/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</sheetData>
  <autoFilter ref="A5:AB46"/>
  <mergeCells count="10">
    <mergeCell ref="A1:AB1"/>
    <mergeCell ref="A2:AB2"/>
    <mergeCell ref="A3:AB3"/>
    <mergeCell ref="A4:C4"/>
    <mergeCell ref="D4:F4"/>
    <mergeCell ref="G4:I4"/>
    <mergeCell ref="J4:O4"/>
    <mergeCell ref="P4:T4"/>
    <mergeCell ref="U4:Y4"/>
    <mergeCell ref="Z4:AB4"/>
  </mergeCells>
  <conditionalFormatting sqref="F6:F46">
    <cfRule type="expression" priority="2" aboveAverage="0" equalAverage="0" bottom="0" percent="0" rank="0" text="" dxfId="7">
      <formula>F6="MATCH"</formula>
    </cfRule>
    <cfRule type="expression" priority="3" aboveAverage="0" equalAverage="0" bottom="0" percent="0" rank="0" text="" dxfId="8">
      <formula>F6="REVIEW"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2026-07-10T15:26:16Z</dcterms:created>
  <dc:creator>openpyxl</dc:creator>
  <dc:description/>
  <dc:language>en-US</dc:language>
  <cp:lastModifiedBy/>
  <dcterms:modified xsi:type="dcterms:W3CDTF">2026-07-10T15:26:16Z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